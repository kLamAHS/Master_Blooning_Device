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e5fa055a3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88998ff3a524b9a"/>
    <x:sheet xmlns:r="http://schemas.openxmlformats.org/officeDocument/2006/relationships" name="Meta Matrix" sheetId="2" r:id="Rac7ec1436d434a6b"/>
    <x:sheet xmlns:r="http://schemas.openxmlformats.org/officeDocument/2006/relationships" name="Tower Roles" sheetId="3" r:id="R1bff430dc78d4812"/>
    <x:sheet xmlns:r="http://schemas.openxmlformats.org/officeDocument/2006/relationships" name="Hero Matrix" sheetId="4" r:id="R1a7dd22b4a7a4cfe"/>
    <x:sheet xmlns:r="http://schemas.openxmlformats.org/officeDocument/2006/relationships" name="Synergy Calculator" sheetId="5" r:id="Re172018e12334cc6"/>
    <x:sheet xmlns:r="http://schemas.openxmlformats.org/officeDocument/2006/relationships" name="Round Threats" sheetId="6" r:id="R5e23267689db4252"/>
    <x:sheet xmlns:r="http://schemas.openxmlformats.org/officeDocument/2006/relationships" name="Economy &amp; Modes" sheetId="7" r:id="R9a007235d86a4069"/>
    <x:sheet xmlns:r="http://schemas.openxmlformats.org/officeDocument/2006/relationships" name="Sources" sheetId="8" r:id="R365114481e34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172A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911d590104364" /><Relationship Type="http://schemas.openxmlformats.org/officeDocument/2006/relationships/theme" Target="/xl/theme/theme1.xml" Id="Rb13f7ff2b5694006" /><Relationship Type="http://schemas.openxmlformats.org/officeDocument/2006/relationships/sharedStrings" Target="/xl/sharedStrings.xml" Id="Recbc1026c43f4241" /><Relationship Type="http://schemas.openxmlformats.org/officeDocument/2006/relationships/worksheet" Target="/xl/worksheets/sheet1.xml" Id="R688998ff3a524b9a" /><Relationship Type="http://schemas.openxmlformats.org/officeDocument/2006/relationships/worksheet" Target="/xl/worksheets/sheet2.xml" Id="Rac7ec1436d434a6b" /><Relationship Type="http://schemas.openxmlformats.org/officeDocument/2006/relationships/worksheet" Target="/xl/worksheets/sheet3.xml" Id="R1bff430dc78d4812" /><Relationship Type="http://schemas.openxmlformats.org/officeDocument/2006/relationships/worksheet" Target="/xl/worksheets/sheet4.xml" Id="R1a7dd22b4a7a4cfe" /><Relationship Type="http://schemas.openxmlformats.org/officeDocument/2006/relationships/worksheet" Target="/xl/worksheets/sheet5.xml" Id="Re172018e12334cc6" /><Relationship Type="http://schemas.openxmlformats.org/officeDocument/2006/relationships/worksheet" Target="/xl/worksheets/sheet6.xml" Id="R5e23267689db4252" /><Relationship Type="http://schemas.openxmlformats.org/officeDocument/2006/relationships/worksheet" Target="/xl/worksheets/sheet7.xml" Id="R9a007235d86a4069" /><Relationship Type="http://schemas.openxmlformats.org/officeDocument/2006/relationships/worksheet" Target="/xl/worksheets/sheet8.xml" Id="R365114481e344e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c122eb990248ee" /><Relationship Type="http://schemas.openxmlformats.org/officeDocument/2006/relationships/chart" Target="/xl/drawings/charts/chart2.xml" Id="R00d8f044777849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Meta Picks: Generic Score vs CHIMPS Value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Core upgrades</c:v>
          </c:tx>
          <c:cat>
            <c:strRef>
              <c:f>'Meta Matrix'!$B$2:$B$16</c:f>
              <c:strCache>
                <c:ptCount val="0"/>
              </c:strCache>
            </c:strRef>
          </c:cat>
          <c:val>
            <c:numRef>
              <c:f>'Meta Matrix'!$C$2:$C$16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Why it is meta</c:v>
          </c:tx>
          <c:cat>
            <c:strRef>
              <c:f>'Meta Matrix'!$B$2:$B$16</c:f>
              <c:strCache>
                <c:ptCount val="0"/>
              </c:strCache>
            </c:strRef>
          </c:cat>
          <c:val>
            <c:numRef>
              <c:f>'Meta Matrix'!$D$2:$D$16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Weakness / caveat</c:v>
          </c:tx>
          <c:cat>
            <c:strRef>
              <c:f>'Meta Matrix'!$B$2:$B$16</c:f>
              <c:strCache>
                <c:ptCount val="0"/>
              </c:strCache>
            </c:strRef>
          </c:cat>
          <c:val>
            <c:numRef>
              <c:f>'Meta Matrix'!$E$2:$E$16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Generic score</c:v>
          </c:tx>
          <c:cat>
            <c:strRef>
              <c:f>'Meta Matrix'!$B$2:$B$16</c:f>
              <c:strCache>
                <c:ptCount val="0"/>
              </c:strCache>
            </c:strRef>
          </c:cat>
          <c:val>
            <c:numRef>
              <c:f>'Meta Matrix'!$F$2:$F$16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CHIMPS value</c:v>
          </c:tx>
          <c:cat>
            <c:strRef>
              <c:f>'Meta Matrix'!$B$2:$B$16</c:f>
              <c:strCache>
                <c:ptCount val="0"/>
              </c:strCache>
            </c:strRef>
          </c:cat>
          <c:val>
            <c:numRef>
              <c:f>'Meta Matrix'!$G$2:$G$16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Heroes: Score and Micro Load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Generic meta role</c:v>
          </c:tx>
          <c:cat>
            <c:strRef>
              <c:f>'Hero Matrix'!$A$2:$A$11</c:f>
              <c:strCache>
                <c:ptCount val="0"/>
              </c:strCache>
            </c:strRef>
          </c:cat>
          <c:val>
            <c:numRef>
              <c:f>'Hero Matrix'!$B$2:$B$11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Best use case</c:v>
          </c:tx>
          <c:cat>
            <c:strRef>
              <c:f>'Hero Matrix'!$A$2:$A$11</c:f>
              <c:strCache>
                <c:ptCount val="0"/>
              </c:strCache>
            </c:strRef>
          </c:cat>
          <c:val>
            <c:numRef>
              <c:f>'Hero Matrix'!$C$2:$C$11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Strengths</c:v>
          </c:tx>
          <c:cat>
            <c:strRef>
              <c:f>'Hero Matrix'!$A$2:$A$11</c:f>
              <c:strCache>
                <c:ptCount val="0"/>
              </c:strCache>
            </c:strRef>
          </c:cat>
          <c:val>
            <c:numRef>
              <c:f>'Hero Matrix'!$D$2:$D$11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Caveats</c:v>
          </c:tx>
          <c:cat>
            <c:strRef>
              <c:f>'Hero Matrix'!$A$2:$A$11</c:f>
              <c:strCache>
                <c:ptCount val="0"/>
              </c:strCache>
            </c:strRef>
          </c:cat>
          <c:val>
            <c:numRef>
              <c:f>'Hero Matrix'!$E$2:$E$11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Score</c:v>
          </c:tx>
          <c:cat>
            <c:strRef>
              <c:f>'Hero Matrix'!$A$2:$A$11</c:f>
              <c:strCache>
                <c:ptCount val="0"/>
              </c:strCache>
            </c:strRef>
          </c:cat>
          <c:val>
            <c:numRef>
              <c:f>'Hero Matrix'!$F$2:$F$11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Micro</c:v>
          </c:tx>
          <c:cat>
            <c:strRef>
              <c:f>'Hero Matrix'!$A$2:$A$11</c:f>
              <c:strCache>
                <c:ptCount val="0"/>
              </c:strCache>
            </c:strRef>
          </c:cat>
          <c:val>
            <c:numRef>
              <c:f>'Hero Matrix'!$G$2:$G$11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c122eb990248ee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d8f044777849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aMatrix" displayName="MetaMatrix" ref="A1:I16" headerRowCount="1">
  <x:tableColumns count="9">
    <x:tableColumn id="1" name="Role"/>
    <x:tableColumn id="2" name="Meta pick / shell"/>
    <x:tableColumn id="3" name="Core upgrades"/>
    <x:tableColumn id="4" name="Why it is meta"/>
    <x:tableColumn id="5" name="Weakness / caveat"/>
    <x:tableColumn id="6" name="Generic score"/>
    <x:tableColumn id="7" name="CHIMPS value"/>
    <x:tableColumn id="8" name="Micro need"/>
    <x:tableColumn id="9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TowerRoles" displayName="TowerRoles" ref="A1:H21" headerRowCount="1">
  <x:tableColumns count="8">
    <x:tableColumn id="1" name="Tower/path family"/>
    <x:tableColumn id="2" name="Primary role"/>
    <x:tableColumn id="3" name="Meta status"/>
    <x:tableColumn id="4" name="Generic crosspath bias"/>
    <x:tableColumn id="5" name="Best partners"/>
    <x:tableColumn id="6" name="Avoid relying on it for"/>
    <x:tableColumn id="7" name="Score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HeroMatrix" displayName="HeroMatrix" ref="A1:H11" headerRowCount="1">
  <x:tableColumns count="8">
    <x:tableColumn id="1" name="Hero"/>
    <x:tableColumn id="2" name="Generic meta role"/>
    <x:tableColumn id="3" name="Best use case"/>
    <x:tableColumn id="4" name="Strengths"/>
    <x:tableColumn id="5" name="Caveats"/>
    <x:tableColumn id="6" name="Score"/>
    <x:tableColumn id="7" name="Micro"/>
    <x:tableColumn id="8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RoundThreats" displayName="RoundThreats" ref="A1:E11" headerRowCount="1">
  <x:tableColumns count="5">
    <x:tableColumn id="1" name="Round / range"/>
    <x:tableColumn id="2" name="Threat"/>
    <x:tableColumn id="3" name="What it tests"/>
    <x:tableColumn id="4" name="Generic answers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conomyModes" displayName="EconomyModes" ref="A1:E8" headerRowCount="1">
  <x:tableColumns count="5">
    <x:tableColumn id="1" name="Mode/context"/>
    <x:tableColumn id="2" name="Meta priority"/>
    <x:tableColumn id="3" name="Best generic approach"/>
    <x:tableColumn id="4" name="Avoid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s" displayName="Sources" ref="A1:C9" headerRowCount="1">
  <x:tableColumns count="3">
    <x:tableColumn id="1" name="Source"/>
    <x:tableColumn id="2" name="URL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729c48c7fb40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92236a35054a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91ba69ba04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fda0482fed43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cc4f989f3cf40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84010dd845341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2b035bb386a4e7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8.75" hidden="0" customWidth="1"/>
    <x:col min="5" max="5" width="18" hidden="0" customWidth="1"/>
    <x:col min="6" max="6" width="42" hidden="0" customWidth="1"/>
  </x:cols>
  <x:sheetData>
    <x:row r="1" ht="19.200000762939453" hidden="0" customHeight="1">
      <x:c r="A1" s="4" t="str">
        <x:v>BTD6 Meta Research Dashboard — non-map-specific, v55-informed</x:v>
      </x:c>
    </x:row>
    <x:row r="3">
      <x:c r="A3" s="19" t="str">
        <x:v>Scope</x:v>
      </x:c>
      <x:c r="B3" s="19" t="str">
        <x:v>General BTD6 meta across CHIMPS/Impoppable/freeplay logic, not optimized to a single map.</x:v>
      </x:c>
      <x:c r="C3" s="19"/>
      <x:c r="D3" s="19"/>
      <x:c r="E3" s="19" t="str">
        <x:v>Patch context</x:v>
      </x:c>
      <x:c r="F3" s="19" t="str">
        <x:v>v55.x public balance context; v54.x latest comprehensive CHIMPS path list found.</x:v>
      </x:c>
      <x:c r="G3" s="19"/>
      <x:c r="H3" s="19"/>
    </x:row>
    <x:row r="4">
      <x:c r="A4" s="19" t="str">
        <x:v>Method</x:v>
      </x:c>
      <x:c r="B4" s="19" t="str">
        <x:v>Score = weighted blend of role flexibility, CHIMPS value, support scaling, affordability, and micro burden.</x:v>
      </x:c>
      <x:c r="C4" s="19"/>
      <x:c r="D4" s="19"/>
      <x:c r="E4" s="19" t="str">
        <x:v>Warning</x:v>
      </x:c>
      <x:c r="F4" s="19" t="str">
        <x:v>BTD6 is patch-sensitive; treat scores as a living model, not scripture.</x:v>
      </x:c>
      <x:c r="G4" s="19"/>
      <x:c r="H4" s="19"/>
    </x:row>
    <x:row r="5">
      <x:c r="A5" s="19" t="str">
        <x:v>Core idea</x:v>
      </x:c>
      <x:c r="B5" s="19" t="str">
        <x:v>Meta defenses are rarely one tower. They are carry + stall + debuff + cleanup + camo/lead fix + ability plan.</x:v>
      </x:c>
      <x:c r="C5" s="19"/>
      <x:c r="D5" s="19"/>
      <x:c r="E5" s="19" t="str">
        <x:v>Use</x:v>
      </x:c>
      <x:c r="F5" s="19" t="str">
        <x:v>Filter Meta Matrix and Tower Roles by your play mode and comfort with micro.</x:v>
      </x:c>
      <x:c r="G5" s="19"/>
      <x:c r="H5" s="19"/>
    </x:row>
    <x:row r="6">
      <x:c r="A6" s="19" t="str">
        <x:v>Best generic shell</x:v>
      </x:c>
      <x:c r="B6" s="19" t="str">
        <x:v>Buffed carry + MOAB Glue + Glue Storm/Strike + Sabo + MIB/camo plan + BAD burst.</x:v>
      </x:c>
      <x:c r="C6" s="19"/>
      <x:c r="D6" s="19"/>
      <x:c r="E6" s="19" t="str">
        <x:v>Not map-specific</x:v>
      </x:c>
      <x:c r="F6" s="19" t="str">
        <x:v>Water, line-of-sight, obstacles, and tower footprints can override generic value.</x:v>
      </x:c>
      <x:c r="G6" s="19"/>
      <x:c r="H6" s="19"/>
    </x:row>
    <x:row r="8">
      <x:c r="A8" s="12" t="str">
        <x:v>KPI</x:v>
      </x:c>
      <x:c r="B8" s="12" t="str">
        <x:v>Value</x:v>
      </x:c>
      <x:c r="C8" s="12" t="str">
        <x:v>Meaning</x:v>
      </x:c>
    </x:row>
    <x:row r="9">
      <x:c r="A9" t="str">
        <x:v>Top generic support score</x:v>
      </x:c>
      <x:c r="B9" t="n">
        <x:f>MAX('Meta Matrix'!F2:F16)</x:f>
        <x:v>94</x:v>
      </x:c>
      <x:c r="C9" t="str">
        <x:v>Highest all-purpose score in Meta Matrix</x:v>
      </x:c>
    </x:row>
    <x:row r="10">
      <x:c r="A10" t="str">
        <x:v>Avg CHIMPS value</x:v>
      </x:c>
      <x:c r="B10" t="n">
        <x:f>AVERAGE('Meta Matrix'!G2:G16)</x:f>
        <x:v>89.85714285714286</x:v>
      </x:c>
      <x:c r="C10" t="str">
        <x:v>General CHIMPS viability of listed meta pieces</x:v>
      </x:c>
    </x:row>
    <x:row r="11">
      <x:c r="A11" t="str">
        <x:v>Lowest micro pick</x:v>
      </x:c>
      <x:c r="B11" t="str">
        <x:f>INDEX('Meta Matrix'!B2:B16,MATCH(MIN('Meta Matrix'!H2:H16),'Meta Matrix'!H2:H16,0))</x:f>
        <x:v>MOAB Glue</x:v>
      </x:c>
      <x:c r="C11" t="str">
        <x:v>Strong option with minimal active input</x:v>
      </x:c>
    </x:row>
    <x:row r="12">
      <x:c r="A12" t="str">
        <x:v>Highest hero score</x:v>
      </x:c>
      <x:c r="B12" t="n">
        <x:f>MAX('Hero Matrix'!F2:F11)</x:f>
        <x:v>96</x:v>
      </x:c>
      <x:c r="C12" t="str">
        <x:v>Top generic hero score in the model</x:v>
      </x:c>
    </x:row>
    <x:row r="13">
      <x:c r="A13" t="str">
        <x:v>Highest hero micro</x:v>
      </x:c>
      <x:c r="B13" t="str">
        <x:f>INDEX('Hero Matrix'!A2:A11,MATCH(MAX('Hero Matrix'!G2:G11),'Hero Matrix'!G2:G11,0))</x:f>
        <x:v>Corvus</x:v>
      </x:c>
      <x:c r="C13" t="str">
        <x:v>Hero with highest execution demand</x:v>
      </x:c>
    </x:row>
    <x:row r="14">
      <x:c r="A14" t="str">
        <x:v>Common late-game failure</x:v>
      </x:c>
      <x:c r="B14" t="str">
        <x:v>R96/R98/R99</x:v>
      </x:c>
      <x:c r="C14" t="str">
        <x:v>Dense fortified MOABs and DDTs punish under-supported carries</x:v>
      </x:c>
    </x:row>
    <x:row r="16">
      <x:c r="A16" s="12" t="str">
        <x:v>Meta thesis</x:v>
      </x:c>
      <x:c r="B16" s="12" t="str"/>
      <x:c r="C16" s="12" t="str"/>
      <x:c r="D16" s="12" t="str"/>
      <x:c r="E16" s="12" t="str"/>
      <x:c r="F16" s="12" t="str"/>
      <x:c r="G16" s="12" t="str"/>
      <x:c r="H16" s="12" t="str"/>
    </x:row>
    <x:row r="17">
      <x:c r="A17" s="24" t="str">
        <x:v>1</x:v>
      </x:c>
      <x:c r="B17" s="24" t="str">
        <x:v>Damage is replaceable; amplification and stall are not. Glue, Ice, Sabo, Maim/Cripple, Overclock, Village, and Alch convert a normal carry into a meta carry.</x:v>
      </x:c>
      <x:c r="C17" s="24"/>
      <x:c r="D17" s="24"/>
      <x:c r="E17" s="24"/>
      <x:c r="F17" s="24"/>
      <x:c r="G17" s="24"/>
      <x:c r="H17" s="24"/>
    </x:row>
    <x:row r="18">
      <x:c r="A18" s="24" t="str">
        <x:v>2</x:v>
      </x:c>
      <x:c r="B18" s="24" t="str">
        <x:v>The best non-map-specific setups solve every property: camo, lead, purple/black, ceramics, DDTs, MOAB-class control, and BAD burst.</x:v>
      </x:c>
      <x:c r="C18" s="24"/>
      <x:c r="D18" s="24"/>
      <x:c r="E18" s="24"/>
      <x:c r="F18" s="24"/>
      <x:c r="G18" s="24"/>
      <x:c r="H18" s="24"/>
    </x:row>
    <x:row r="19">
      <x:c r="A19" s="24" t="str">
        <x:v>3</x:v>
      </x:c>
      <x:c r="B19" s="24" t="str">
        <x:v>Hard rounds are not just round 100. R63, R75/76/78, R95, R98, and R99 decide whether a strategy is actually stable.</x:v>
      </x:c>
      <x:c r="C19" s="24"/>
      <x:c r="D19" s="24"/>
      <x:c r="E19" s="24"/>
      <x:c r="F19" s="24"/>
      <x:c r="G19" s="24"/>
      <x:c r="H19" s="24"/>
    </x:row>
    <x:row r="20">
      <x:c r="A20" s="24" t="str">
        <x:v>4</x:v>
      </x:c>
      <x:c r="B20" s="24" t="str">
        <x:v>Low-micro builds are usually more consistent; high-micro heroes like Geraldo/Corvus raise ceiling but also failure points.</x:v>
      </x:c>
      <x:c r="C20" s="24"/>
      <x:c r="D20" s="24"/>
      <x:c r="E20" s="24"/>
      <x:c r="F20" s="24"/>
      <x:c r="G20" s="24"/>
      <x:c r="H20" s="24"/>
    </x:row>
    <x:row r="21">
      <x:c r="A21" s="24" t="str">
        <x:v>5</x:v>
      </x:c>
      <x:c r="B21" s="24" t="str">
        <x:v>In CHIMPS, money efficiency and save-up windows matter more than theoretical freeplay DPS. Outside CHIMPS, economy changes everything.</x:v>
      </x:c>
      <x:c r="C21" s="24"/>
      <x:c r="D21" s="24"/>
      <x:c r="E21" s="24"/>
      <x:c r="F21" s="24"/>
      <x:c r="G21" s="24"/>
      <x:c r="H21" s="2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2729c48c7fb4028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46" hidden="0" customWidth="1"/>
    <x:col min="5" max="5" width="34" hidden="0" customWidth="1"/>
    <x:col min="6" max="6" width="13.380000114440918" hidden="0" customWidth="1"/>
    <x:col min="7" max="7" width="13.630000114440918" hidden="0" customWidth="1"/>
    <x:col min="8" max="8" width="11.75" hidden="0" customWidth="1"/>
    <x:col min="9" max="9" width="44" hidden="0" customWidth="1"/>
  </x:cols>
  <x:sheetData>
    <x:row r="1" ht="15" hidden="0" customHeight="1">
      <x:c r="A1" s="12" t="str">
        <x:v>Role</x:v>
      </x:c>
      <x:c r="B1" s="12" t="str">
        <x:v>Meta pick / shell</x:v>
      </x:c>
      <x:c r="C1" s="12" t="str">
        <x:v>Core upgrades</x:v>
      </x:c>
      <x:c r="D1" s="12" t="str">
        <x:v>Why it is meta</x:v>
      </x:c>
      <x:c r="E1" s="12" t="str">
        <x:v>Weakness / caveat</x:v>
      </x:c>
      <x:c r="F1" s="12" t="str">
        <x:v>Generic score</x:v>
      </x:c>
      <x:c r="G1" s="12" t="str">
        <x:v>CHIMPS value</x:v>
      </x:c>
      <x:c r="H1" s="12" t="str">
        <x:v>Micro need</x:v>
      </x:c>
      <x:c r="I1" s="12" t="str">
        <x:v>Source URL</x:v>
      </x:c>
    </x:row>
    <x:row r="2">
      <x:c r="A2" s="19" t="str">
        <x:v>Primary carry</x:v>
      </x:c>
      <x:c r="B2" s="19" t="str">
        <x:v>Tack Zone + buffs</x:v>
      </x:c>
      <x:c r="C2" s="19" t="str">
        <x:v>205 Tack + 420 Village + 401/420 Alch + Glue/Embrittle</x:v>
      </x:c>
      <x:c r="D2" s="19" t="str">
        <x:v>Excellent single-target and dense round DPS when bloons are held in range; scales very well with +damage buffs.</x:v>
      </x:c>
      <x:c r="E2" s="19" t="str">
        <x:v>Needs placement coverage and support; weak if map geometry denies tack uptime.</x:v>
      </x:c>
      <x:c r="F2" s="19" t="n">
        <x:v>92</x:v>
      </x:c>
      <x:c r="G2" s="19" t="n">
        <x:v>94</x:v>
      </x:c>
      <x:c r="H2" s="19" t="n">
        <x:v>35</x:v>
      </x:c>
      <x:c r="I2" s="19" t="str">
        <x:v>https://bloons.fandom.com/wiki/Tower_Buffs_(BTD6)</x:v>
      </x:c>
    </x:row>
    <x:row r="3">
      <x:c r="A3" s="19" t="str">
        <x:v>Primary support DPS</x:v>
      </x:c>
      <x:c r="B3" s="19" t="str">
        <x:v>Super Brittle / Embrittlement</x:v>
      </x:c>
      <x:c r="C3" s="19" t="str">
        <x:v>500 Ice or 400 Ice</x:v>
      </x:c>
      <x:c r="D3" s="19" t="str">
        <x:v>Damage amplification is more valuable than raw DPS in late game because every fast multi-projectile tower multiplies it.</x:v>
      </x:c>
      <x:c r="E3" s="19" t="str">
        <x:v>Range and uptime dependent; requires camo/lead/freeze coverage planning.</x:v>
      </x:c>
      <x:c r="F3" s="19" t="n">
        <x:v>88</x:v>
      </x:c>
      <x:c r="G3" s="19" t="n">
        <x:v>91</x:v>
      </x:c>
      <x:c r="H3" s="19" t="n">
        <x:v>30</x:v>
      </x:c>
      <x:c r="I3" s="19" t="str">
        <x:v>https://bloons.fandom.com/wiki/Tower_Buffs_(BTD6)</x:v>
      </x:c>
    </x:row>
    <x:row r="4">
      <x:c r="A4" s="19" t="str">
        <x:v>Magic carry</x:v>
      </x:c>
      <x:c r="B4" s="19" t="str">
        <x:v>Prince of Darkness</x:v>
      </x:c>
      <x:c r="C4" s="19" t="str">
        <x:v>025 Wizard</x:v>
      </x:c>
      <x:c r="D4" s="19" t="str">
        <x:v>Reliable cleanup, mid/late stability, and good save-up behavior against DDT/MOAB pressure.</x:v>
      </x:c>
      <x:c r="E4" s="19" t="str">
        <x:v>Falls off against extremely high single-target BAD pressure without extra DPS.</x:v>
      </x:c>
      <x:c r="F4" s="19" t="n">
        <x:v>90</x:v>
      </x:c>
      <x:c r="G4" s="19" t="n">
        <x:v>92</x:v>
      </x:c>
      <x:c r="H4" s="19" t="n">
        <x:v>20</x:v>
      </x:c>
      <x:c r="I4" s="19" t="str">
        <x:v>https://sites.google.com/view/bloonology</x:v>
      </x:c>
    </x:row>
    <x:row r="5">
      <x:c r="A5" s="19" t="str">
        <x:v>Magic carry</x:v>
      </x:c>
      <x:c r="B5" s="19" t="str">
        <x:v>Sun Avatar shell</x:v>
      </x:c>
      <x:c r="C5" s="19" t="str">
        <x:v>302/320 Super + Alch/Village/Overclock</x:v>
      </x:c>
      <x:c r="D5" s="19" t="str">
        <x:v>High uptime projectile DPS, simple scaling with buffs, useful stepping stone into late game.</x:v>
      </x:c>
      <x:c r="E5" s="19" t="str">
        <x:v>Expensive save-up; needs camo and lead support unless crosspathed/buffed.</x:v>
      </x:c>
      <x:c r="F5" s="19" t="n">
        <x:v>91</x:v>
      </x:c>
      <x:c r="G5" s="19" t="n">
        <x:v>93</x:v>
      </x:c>
      <x:c r="H5" s="19" t="n">
        <x:v>25</x:v>
      </x:c>
      <x:c r="I5" s="19" t="str">
        <x:v>https://www.reddit.com/r/btd6/comments/1tokyxi/comprehensive_tier_list_for_chimps_by_path/</x:v>
      </x:c>
    </x:row>
    <x:row r="6">
      <x:c r="A6" s="19" t="str">
        <x:v>Military carry</x:v>
      </x:c>
      <x:c r="B6" s="19" t="str">
        <x:v>Avatar of Wrath + Poplust</x:v>
      </x:c>
      <x:c r="C6" s="19" t="str">
        <x:v>015 Druid + 5x 014 Druids + Obyn/Geraldo/Alch</x:v>
      </x:c>
      <x:c r="D6" s="19" t="str">
        <x:v>One of the best non-map-specific late-game DPS engines when safely built; scales with lives lost mechanics and Poplust.</x:v>
      </x:c>
      <x:c r="E6" s="19" t="str">
        <x:v>Cluster footprint and setup cost; weaker without supporting slowdown.</x:v>
      </x:c>
      <x:c r="F6" s="19" t="n">
        <x:v>89</x:v>
      </x:c>
      <x:c r="G6" s="19" t="n">
        <x:v>90</x:v>
      </x:c>
      <x:c r="H6" s="19" t="n">
        <x:v>45</x:v>
      </x:c>
      <x:c r="I6" s="19" t="str">
        <x:v>https://bloons.fandom.com/wiki/Tower_Buffs_(BTD6)</x:v>
      </x:c>
    </x:row>
    <x:row r="7">
      <x:c r="A7" s="19" t="str">
        <x:v>Military carry</x:v>
      </x:c>
      <x:c r="B7" s="19" t="str">
        <x:v>Apache Prime</x:v>
      </x:c>
      <x:c r="C7" s="19" t="str">
        <x:v>502 Heli</x:v>
      </x:c>
      <x:c r="D7" s="19" t="str">
        <x:v>Map-independent pursuit DPS and strong global-ish coverage; reliable for non-expert maps and many expert layouts.</x:v>
      </x:c>
      <x:c r="E7" s="19" t="str">
        <x:v>Costly; pathing can reduce focus; often outclassed on hardest CHIMPS by cheaper specialized setups.</x:v>
      </x:c>
      <x:c r="F7" s="19" t="n">
        <x:v>84</x:v>
      </x:c>
      <x:c r="G7" s="19" t="n">
        <x:v>82</x:v>
      </x:c>
      <x:c r="H7" s="19" t="n">
        <x:v>20</x:v>
      </x:c>
      <x:c r="I7" s="19" t="str">
        <x:v>https://sites.google.com/view/bloonology</x:v>
      </x:c>
    </x:row>
    <x:row r="8">
      <x:c r="A8" s="19" t="str">
        <x:v>Military utility</x:v>
      </x:c>
      <x:c r="B8" s="19" t="str">
        <x:v>Maim MOAB / Cripple MOAB</x:v>
      </x:c>
      <x:c r="C8" s="19" t="str">
        <x:v>420/520 Sniper</x:v>
      </x:c>
      <x:c r="D8" s="19" t="str">
        <x:v>MOAB-class stalling plus amplification turns dangerous rounds into controlled DPS checks.</x:v>
      </x:c>
      <x:c r="E8" s="19" t="str">
        <x:v>Needs cleanup for children and high pierce support for dense rounds.</x:v>
      </x:c>
      <x:c r="F8" s="19" t="n">
        <x:v>87</x:v>
      </x:c>
      <x:c r="G8" s="19" t="n">
        <x:v>89</x:v>
      </x:c>
      <x:c r="H8" s="19" t="n">
        <x:v>25</x:v>
      </x:c>
      <x:c r="I8" s="19" t="str">
        <x:v>https://bloons.fandom.com/wiki/Tower_Buffs_(BTD6)</x:v>
      </x:c>
    </x:row>
    <x:row r="9">
      <x:c r="A9" s="19" t="str">
        <x:v>Support core</x:v>
      </x:c>
      <x:c r="B9" s="19" t="str">
        <x:v>Glue Strike / Glue Storm</x:v>
      </x:c>
      <x:c r="C9" s="19" t="str">
        <x:v>240/250 Glue</x:v>
      </x:c>
      <x:c r="D9" s="19" t="str">
        <x:v>Global/large-area damage amplification and ceramic control; remains central even after v55 adjustments.</x:v>
      </x:c>
      <x:c r="E9" s="19" t="str">
        <x:v>Ability timing matters; v55 addressed Glue Strike being too strong.</x:v>
      </x:c>
      <x:c r="F9" s="19" t="n">
        <x:v>93</x:v>
      </x:c>
      <x:c r="G9" s="19" t="n">
        <x:v>95</x:v>
      </x:c>
      <x:c r="H9" s="19" t="n">
        <x:v>55</x:v>
      </x:c>
      <x:c r="I9" s="19" t="str">
        <x:v>https://bloons.fandom.com/wiki/Bloons_TD_6/Balance_changes/Version_55.x</x:v>
      </x:c>
    </x:row>
    <x:row r="10">
      <x:c r="A10" s="19" t="str">
        <x:v>Support core</x:v>
      </x:c>
      <x:c r="B10" s="19" t="str">
        <x:v>MOAB Glue</x:v>
      </x:c>
      <x:c r="C10" s="19" t="str">
        <x:v>013/023 Glue</x:v>
      </x:c>
      <x:c r="D10" s="19" t="str">
        <x:v>Cheap permanent slowing of MOAB layers buys enormous effective DPS for every tower.</x:v>
      </x:c>
      <x:c r="E10" s="19" t="str">
        <x:v>Does not solve camo/lead or BAD damage.</x:v>
      </x:c>
      <x:c r="F10" s="19" t="n">
        <x:v>94</x:v>
      </x:c>
      <x:c r="G10" s="19" t="n">
        <x:v>96</x:v>
      </x:c>
      <x:c r="H10" s="19" t="n">
        <x:v>5</x:v>
      </x:c>
      <x:c r="I10" s="19" t="str">
        <x:v>https://sites.google.com/view/bloonology</x:v>
      </x:c>
    </x:row>
    <x:row r="11">
      <x:c r="A11" s="19" t="str">
        <x:v>Support core</x:v>
      </x:c>
      <x:c r="B11" s="19" t="str">
        <x:v>Bloon Sabotage / Grand Sabo</x:v>
      </x:c>
      <x:c r="C11" s="19" t="str">
        <x:v>040/050 Ninja</x:v>
      </x:c>
      <x:c r="D11" s="19" t="str">
        <x:v>Round-agnostic MOAB slowdown that converts spike rounds into manageable waves.</x:v>
      </x:c>
      <x:c r="E11" s="19" t="str">
        <x:v>Ability cadence and initial cooldown matter; not raw damage.</x:v>
      </x:c>
      <x:c r="F11" s="19" t="n">
        <x:v>91</x:v>
      </x:c>
      <x:c r="G11" s="19" t="n">
        <x:v>94</x:v>
      </x:c>
      <x:c r="H11" s="19" t="n">
        <x:v>50</x:v>
      </x:c>
      <x:c r="I11" s="19" t="str">
        <x:v>https://bloons.fandom.com/wiki/Tower_Buffs_(BTD6)</x:v>
      </x:c>
    </x:row>
    <x:row r="12">
      <x:c r="A12" s="19" t="str">
        <x:v>Global utility</x:v>
      </x:c>
      <x:c r="B12" s="19" t="str">
        <x:v>Energizer / First Strike</x:v>
      </x:c>
      <x:c r="C12" s="19" t="str">
        <x:v>520 or 040/050 Sub</x:v>
      </x:c>
      <x:c r="D12" s="19" t="str">
        <x:v>Ability cooldown acceleration and BAD burst remain broadly useful where water exists.</x:v>
      </x:c>
      <x:c r="E12" s="19" t="str">
        <x:v>Water dependent; not fully map-independent.</x:v>
      </x:c>
      <x:c r="F12" s="19" t="n">
        <x:v>82</x:v>
      </x:c>
      <x:c r="G12" s="19" t="n">
        <x:v>79</x:v>
      </x:c>
      <x:c r="H12" s="19" t="n">
        <x:v>45</x:v>
      </x:c>
      <x:c r="I12" s="19" t="str">
        <x:v>https://bloons.fandom.com/wiki/Advanced_Intel_(BTD6)</x:v>
      </x:c>
    </x:row>
    <x:row r="13">
      <x:c r="A13" s="19" t="str">
        <x:v>Affordability engine</x:v>
      </x:c>
      <x:c r="B13" s="19" t="str">
        <x:v>Overclock / Ultraboost</x:v>
      </x:c>
      <x:c r="C13" s="19" t="str">
        <x:v>040/050 Engineer</x:v>
      </x:c>
      <x:c r="D13" s="19" t="str">
        <x:v>Attack-speed uptime is a multiplicative amplifier for expensive carries.</x:v>
      </x:c>
      <x:c r="E13" s="19" t="str">
        <x:v>Micro/timing; limited value if buffing low-value targets.</x:v>
      </x:c>
      <x:c r="F13" s="19" t="n">
        <x:v>88</x:v>
      </x:c>
      <x:c r="G13" s="19" t="n">
        <x:v>90</x:v>
      </x:c>
      <x:c r="H13" s="19" t="n">
        <x:v>45</x:v>
      </x:c>
      <x:c r="I13" s="19" t="str">
        <x:v>https://bloons.fandom.com/wiki/Tower_Buffs_(BTD6)</x:v>
      </x:c>
    </x:row>
    <x:row r="14">
      <x:c r="A14" s="19" t="str">
        <x:v>Stall/control</x:v>
      </x:c>
      <x:c r="B14" s="19" t="str">
        <x:v>Icicle Impale</x:v>
      </x:c>
      <x:c r="C14" s="19" t="str">
        <x:v>025 Ice</x:v>
      </x:c>
      <x:c r="D14" s="19" t="str">
        <x:v>DDT/MOAB control makes late 90s safer and reduces pressure on carry damage.</x:v>
      </x:c>
      <x:c r="E14" s="19" t="str">
        <x:v>Needs camo/lead compatibility and support; BAD unaffected.</x:v>
      </x:c>
      <x:c r="F14" s="19" t="n">
        <x:v>86</x:v>
      </x:c>
      <x:c r="G14" s="19" t="n">
        <x:v>89</x:v>
      </x:c>
      <x:c r="H14" s="19" t="n">
        <x:v>20</x:v>
      </x:c>
      <x:c r="I14" s="19" t="str">
        <x:v>https://sites.google.com/view/bloonology</x:v>
      </x:c>
    </x:row>
    <x:row r="15">
      <x:c r="A15" s="19" t="str">
        <x:v>Cleanup/stall</x:v>
      </x:c>
      <x:c r="B15" s="19" t="str">
        <x:v>Bloon Solver</x:v>
      </x:c>
      <x:c r="C15" s="19" t="str">
        <x:v>502 Glue</x:v>
      </x:c>
      <x:c r="D15" s="19" t="str">
        <x:v>Strong ceramic cleanup and track coverage; low micro.</x:v>
      </x:c>
      <x:c r="E15" s="19" t="str">
        <x:v>Not a primary BAD solution; tower placement dictates value.</x:v>
      </x:c>
      <x:c r="F15" s="19" t="n">
        <x:v>82</x:v>
      </x:c>
      <x:c r="G15" s="19" t="n">
        <x:v>84</x:v>
      </x:c>
      <x:c r="H15" s="19" t="n">
        <x:v>5</x:v>
      </x:c>
      <x:c r="I15" s="19" t="str">
        <x:v>https://sites.google.com/view/bloonology</x:v>
      </x:c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</x:row>
  </x:sheetData>
  <x:conditionalFormatting sqref="F2:G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2:H16">
    <x:cfRule type="dataBar" priority="2">
      <x:dataBar>
        <x:cfvo type="min"/>
        <x:cfvo type="max"/>
        <x:color rgb="FF64748B"/>
      </x:dataBar>
      <x:extLst>
        <x:ext xmlns:x14="http://schemas.microsoft.com/office/spreadsheetml/2009/9/main" uri="{B025F937-C7B1-47D3-B67F-A62EFF666E3E}">
          <x14:id>{945611B1-0885-B1E6-68B2-4B3697F92DE7}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e92236a35054a0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45611B1-0885-B1E6-68B2-4B3697F92DE7}">
            <x14:dataBar gradient="1">
              <x14:cfvo type="min"/>
              <x14:cfvo type="max"/>
              <x14:fillColor rgb="FF64748B"/>
            </x14:dataBar>
          </x14:cfRule>
          <xm:sqref>H2:H16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30" hidden="0" customWidth="1"/>
    <x:col min="5" max="5" width="28" hidden="0" customWidth="1"/>
    <x:col min="6" max="6" width="26" hidden="0" customWidth="1"/>
    <x:col min="7" max="7" width="7.25" hidden="0" customWidth="1"/>
    <x:col min="8" max="8" width="42" hidden="0" customWidth="1"/>
  </x:cols>
  <x:sheetData>
    <x:row r="1" ht="15" hidden="0" customHeight="1">
      <x:c r="A1" s="12" t="str">
        <x:v>Tower/path family</x:v>
      </x:c>
      <x:c r="B1" s="12" t="str">
        <x:v>Primary role</x:v>
      </x:c>
      <x:c r="C1" s="12" t="str">
        <x:v>Meta status</x:v>
      </x:c>
      <x:c r="D1" s="12" t="str">
        <x:v>Generic crosspath bias</x:v>
      </x:c>
      <x:c r="E1" s="12" t="str">
        <x:v>Best partners</x:v>
      </x:c>
      <x:c r="F1" s="12" t="str">
        <x:v>Avoid relying on it for</x:v>
      </x:c>
      <x:c r="G1" s="12" t="str">
        <x:v>Score</x:v>
      </x:c>
      <x:c r="H1" s="12" t="str">
        <x:v>Notes</x:v>
      </x:c>
    </x:row>
    <x:row r="2">
      <x:c r="A2" s="19" t="str">
        <x:v>Dart top/mid/bottom</x:v>
      </x:c>
      <x:c r="B2" s="19" t="str">
        <x:v>cheap start, PMFC, XBM</x:v>
      </x:c>
      <x:c r="C2" s="19" t="str">
        <x:v>Niche/meta only in specific shells</x:v>
      </x:c>
      <x:c r="D2" s="19" t="str">
        <x:v>Depends: PMFC wants buffs, XBM easy but lower ceiling</x:v>
      </x:c>
      <x:c r="E2" s="19" t="str">
        <x:v>Village, Alch, Geraldo</x:v>
      </x:c>
      <x:c r="F2" s="19" t="str">
        <x:v>Expert late-game solo carry</x:v>
      </x:c>
      <x:c r="G2" s="19" t="n">
        <x:v>63</x:v>
      </x:c>
      <x:c r="H2" s="19" t="str">
        <x:v>Great for starts and challenges; not usually top generic late-game meta.</x:v>
      </x:c>
    </x:row>
    <x:row r="3">
      <x:c r="A3" s="19" t="str">
        <x:v>Boomerang mid/bottom</x:v>
      </x:c>
      <x:c r="B3" s="19" t="str">
        <x:v>MOAB control, cleanup</x:v>
      </x:c>
      <x:c r="C3" s="19" t="str">
        <x:v>Strong support</x:v>
      </x:c>
      <x:c r="D3" s="19" t="str">
        <x:v>MOAB Press spam, Perma Charge as DPS</x:v>
      </x:c>
      <x:c r="E3" s="19" t="str">
        <x:v>Alch, Village, Glue</x:v>
      </x:c>
      <x:c r="F3" s="19" t="str">
        <x:v>BAD damage alone</x:v>
      </x:c>
      <x:c r="G3" s="19" t="n">
        <x:v>82</x:v>
      </x:c>
      <x:c r="H3" s="19" t="str">
        <x:v>MOAB Press remains broadly useful.</x:v>
      </x:c>
    </x:row>
    <x:row r="4">
      <x:c r="A4" s="19" t="str">
        <x:v>Bomb mid/top</x:v>
      </x:c>
      <x:c r="B4" s="19" t="str">
        <x:v>ceramic/MOAB burst</x:v>
      </x:c>
      <x:c r="C4" s="19" t="str">
        <x:v>Strong but support-dependent</x:v>
      </x:c>
      <x:c r="D4" s="19" t="str">
        <x:v>Recursive/Assassin/Elim</x:v>
      </x:c>
      <x:c r="E4" s="19" t="str">
        <x:v>Striker, Village, Glue</x:v>
      </x:c>
      <x:c r="F4" s="19" t="str">
        <x:v>Camo without support</x:v>
      </x:c>
      <x:c r="G4" s="19" t="n">
        <x:v>78</x:v>
      </x:c>
      <x:c r="H4" s="19" t="str">
        <x:v>Ability burst good into MOABs/BAD.</x:v>
      </x:c>
    </x:row>
    <x:row r="5">
      <x:c r="A5" s="19" t="str">
        <x:v>Tack bottom/top</x:v>
      </x:c>
      <x:c r="B5" s="19" t="str">
        <x:v>close-range DPS</x:v>
      </x:c>
      <x:c r="C5" s="19" t="str">
        <x:v>High meta where geometry works</x:v>
      </x:c>
      <x:c r="D5" s="19" t="str">
        <x:v>205 Tack Zone usually; top for inferno cleanup</x:v>
      </x:c>
      <x:c r="E5" s="19" t="str">
        <x:v>Alch, Village, Pat, Super Brittle, Glue Storm</x:v>
      </x:c>
      <x:c r="F5" s="19" t="str">
        <x:v>Long-range maps</x:v>
      </x:c>
      <x:c r="G5" s="19" t="n">
        <x:v>90</x:v>
      </x:c>
      <x:c r="H5" s="19" t="str">
        <x:v>One of the clearest buff-scaling carries.</x:v>
      </x:c>
    </x:row>
    <x:row r="6">
      <x:c r="A6" s="19" t="str">
        <x:v>Ice top/bottom</x:v>
      </x:c>
      <x:c r="B6" s="19" t="str">
        <x:v>debuff/control</x:v>
      </x:c>
      <x:c r="C6" s="19" t="str">
        <x:v>High meta support</x:v>
      </x:c>
      <x:c r="D6" s="19" t="str">
        <x:v>Embrittle/Super Brittle or Impale</x:v>
      </x:c>
      <x:c r="E6" s="19" t="str">
        <x:v>Tack, Sun Avatar, MIB, camo support</x:v>
      </x:c>
      <x:c r="F6" s="19" t="str">
        <x:v>BAD slow</x:v>
      </x:c>
      <x:c r="G6" s="19" t="n">
        <x:v>89</x:v>
      </x:c>
      <x:c r="H6" s="19" t="str">
        <x:v>Turns projectile spam into late-game DPS.</x:v>
      </x:c>
    </x:row>
    <x:row r="7">
      <x:c r="A7" s="19" t="str">
        <x:v>Glue mid/bottom/top</x:v>
      </x:c>
      <x:c r="B7" s="19" t="str">
        <x:v>debuff, slow, cleanup</x:v>
      </x:c>
      <x:c r="C7" s="19" t="str">
        <x:v>S-tier support</x:v>
      </x:c>
      <x:c r="D7" s="19" t="str">
        <x:v>Glue Storm/Strike, MOAB Glue, Solver</x:v>
      </x:c>
      <x:c r="E7" s="19" t="str">
        <x:v>Every carry</x:v>
      </x:c>
      <x:c r="F7" s="19" t="str">
        <x:v>BAD slow</x:v>
      </x:c>
      <x:c r="G7" s="19" t="n">
        <x:v>94</x:v>
      </x:c>
      <x:c r="H7" s="19" t="str">
        <x:v>v55 specifically addressed Glue Strike strength.</x:v>
      </x:c>
    </x:row>
    <x:row r="8">
      <x:c r="A8" s="19" t="str">
        <x:v>Sniper top/mid</x:v>
      </x:c>
      <x:c r="B8" s="19" t="str">
        <x:v>MOAB stall, income outside CHIMPS</x:v>
      </x:c>
      <x:c r="C8" s="19" t="str">
        <x:v>Strong utility</x:v>
      </x:c>
      <x:c r="D8" s="19" t="str">
        <x:v>Maim/Cripple; Elite Sniper outside CHIMPS</x:v>
      </x:c>
      <x:c r="E8" s="19" t="str">
        <x:v>Village, Alch, DPS carries</x:v>
      </x:c>
      <x:c r="F8" s="19" t="str">
        <x:v>Dense cleanup</x:v>
      </x:c>
      <x:c r="G8" s="19" t="n">
        <x:v>84</x:v>
      </x:c>
      <x:c r="H8" s="19" t="str">
        <x:v>Global range but line-of-sight/targeting quirks matter.</x:v>
      </x:c>
    </x:row>
    <x:row r="9">
      <x:c r="A9" s="19" t="str">
        <x:v>Sub top/mid</x:v>
      </x:c>
      <x:c r="B9" s="19" t="str">
        <x:v>intel, cooldown, burst</x:v>
      </x:c>
      <x:c r="C9" s="19" t="str">
        <x:v>Map-dependent high value</x:v>
      </x:c>
      <x:c r="D9" s="19" t="str">
        <x:v>Energizer / First Strike</x:v>
      </x:c>
      <x:c r="E9" s="19" t="str">
        <x:v>Brickell, Reactor, Village</x:v>
      </x:c>
      <x:c r="F9" s="19" t="str">
        <x:v>No-water maps</x:v>
      </x:c>
      <x:c r="G9" s="19" t="n">
        <x:v>80</x:v>
      </x:c>
      <x:c r="H9" s="19" t="str">
        <x:v>Advanced Intel changes range assumptions.</x:v>
      </x:c>
    </x:row>
    <x:row r="10">
      <x:c r="A10" s="19" t="str">
        <x:v>Buccaneer mid/bottom</x:v>
      </x:c>
      <x:c r="B10" s="19" t="str">
        <x:v>water DPS/econ/control</x:v>
      </x:c>
      <x:c r="C10" s="19" t="str">
        <x:v>Mode/map-dependent</x:v>
      </x:c>
      <x:c r="D10" s="19" t="str">
        <x:v>Pirate Lord, Trade Empire</x:v>
      </x:c>
      <x:c r="E10" s="19" t="str">
        <x:v>Brickell, Farms, Village</x:v>
      </x:c>
      <x:c r="F10" s="19" t="str">
        <x:v>Dry maps/CHIMPS income</x:v>
      </x:c>
      <x:c r="G10" s="19" t="n">
        <x:v>77</x:v>
      </x:c>
      <x:c r="H10" s="19" t="str">
        <x:v>Great outside CHIMPS with water and economy.</x:v>
      </x:c>
    </x:row>
    <x:row r="11">
      <x:c r="A11" s="19" t="str">
        <x:v>Heli top/bottom</x:v>
      </x:c>
      <x:c r="B11" s="19" t="str">
        <x:v>mobile DPS/control</x:v>
      </x:c>
      <x:c r="C11" s="19" t="str">
        <x:v>Reliable, costly</x:v>
      </x:c>
      <x:c r="D11" s="19" t="str">
        <x:v>Apache Prime, Downdraft, Chinook outside CHIMPS</x:v>
      </x:c>
      <x:c r="E11" s="19" t="str">
        <x:v>Alch, Village, Glue</x:v>
      </x:c>
      <x:c r="F11" s="19" t="str">
        <x:v>Efficiency on true experts</x:v>
      </x:c>
      <x:c r="G11" s="19" t="n">
        <x:v>81</x:v>
      </x:c>
      <x:c r="H11" s="19" t="str">
        <x:v>Map independence is the selling point.</x:v>
      </x:c>
    </x:row>
    <x:row r="12">
      <x:c r="A12" s="19" t="str">
        <x:v>Mortar mid/top</x:v>
      </x:c>
      <x:c r="B12" s="19" t="str">
        <x:v>global utility, decamo, ceramic damage</x:v>
      </x:c>
      <x:c r="C12" s="19" t="str">
        <x:v>Niche/strong utility</x:v>
      </x:c>
      <x:c r="D12" s="19" t="str">
        <x:v>Shattering Shells, Artillery Battery</x:v>
      </x:c>
      <x:c r="E12" s="19" t="str">
        <x:v>Striker, Glue, Village</x:v>
      </x:c>
      <x:c r="F12" s="19" t="str">
        <x:v>Easy plug-and-play DPS</x:v>
      </x:c>
      <x:c r="G12" s="19" t="n">
        <x:v>73</x:v>
      </x:c>
      <x:c r="H12" s="19" t="str">
        <x:v>Shattering Shells utility can be decisive.</x:v>
      </x:c>
    </x:row>
    <x:row r="13">
      <x:c r="A13" s="19" t="str">
        <x:v>Dartling top/bottom</x:v>
      </x:c>
      <x:c r="B13" s="19" t="str">
        <x:v>line DPS / BAD DPS</x:v>
      </x:c>
      <x:c r="C13" s="19" t="str">
        <x:v>Strong with placement</x:v>
      </x:c>
      <x:c r="D13" s="19" t="str">
        <x:v>MAD, Ray of Doom, BEZ</x:v>
      </x:c>
      <x:c r="E13" s="19" t="str">
        <x:v>Village, Alch, Overclock, Glue</x:v>
      </x:c>
      <x:c r="F13" s="19" t="str">
        <x:v>Hands-off targeting</x:v>
      </x:c>
      <x:c r="G13" s="19" t="n">
        <x:v>82</x:v>
      </x:c>
      <x:c r="H13" s="19" t="str">
        <x:v>Micro and straight lines determine output.</x:v>
      </x:c>
    </x:row>
    <x:row r="14">
      <x:c r="A14" s="19" t="str">
        <x:v>Wizard bottom/mid</x:v>
      </x:c>
      <x:c r="B14" s="19" t="str">
        <x:v>cleanup, DDT, abilities</x:v>
      </x:c>
      <x:c r="C14" s="19" t="str">
        <x:v>High meta</x:v>
      </x:c>
      <x:c r="D14" s="19" t="str">
        <x:v>Prince of Darkness, Phoenix</x:v>
      </x:c>
      <x:c r="E14" s="19" t="str">
        <x:v>Alch, Village, stall</x:v>
      </x:c>
      <x:c r="F14" s="19" t="str">
        <x:v>BAD solo</x:v>
      </x:c>
      <x:c r="G14" s="19" t="n">
        <x:v>88</x:v>
      </x:c>
      <x:c r="H14" s="19" t="str">
        <x:v>PoD is one of the safest generic late-game stabilizers.</x:v>
      </x:c>
    </x:row>
    <x:row r="15">
      <x:c r="A15" s="19" t="str">
        <x:v>Super top/mid</x:v>
      </x:c>
      <x:c r="B15" s="19" t="str">
        <x:v>buff-scaling carry</x:v>
      </x:c>
      <x:c r="C15" s="19" t="str">
        <x:v>High meta but expensive</x:v>
      </x:c>
      <x:c r="D15" s="19" t="str">
        <x:v>Sun Avatar; Dark Knight for utility</x:v>
      </x:c>
      <x:c r="E15" s="19" t="str">
        <x:v>Village, Alch, Overclock, Glue, Ice</x:v>
      </x:c>
      <x:c r="F15" s="19" t="str">
        <x:v>Cheap early</x:v>
      </x:c>
      <x:c r="G15" s="19" t="n">
        <x:v>89</x:v>
      </x:c>
      <x:c r="H15" s="19" t="str">
        <x:v>High ceiling because it takes buffs extremely well.</x:v>
      </x:c>
    </x:row>
    <x:row r="16">
      <x:c r="A16" s="19" t="str">
        <x:v>Ninja mid/top/bottom</x:v>
      </x:c>
      <x:c r="B16" s="19" t="str">
        <x:v>Sabo, shinobi, sticky</x:v>
      </x:c>
      <x:c r="C16" s="19" t="str">
        <x:v>High meta support</x:v>
      </x:c>
      <x:c r="D16" s="19" t="str">
        <x:v>Bloon Sabo, Shinobi stacks</x:v>
      </x:c>
      <x:c r="E16" s="19" t="str">
        <x:v>Alch, Obyn, Geraldo, Grand Sabo</x:v>
      </x:c>
      <x:c r="F16" s="19" t="str">
        <x:v>No-support raw DPS</x:v>
      </x:c>
      <x:c r="G16" s="19" t="n">
        <x:v>86</x:v>
      </x:c>
      <x:c r="H16" s="19" t="str">
        <x:v>Shinobi stacking is numerically enormous.</x:v>
      </x:c>
    </x:row>
    <x:row r="17">
      <x:c r="A17" s="19" t="str">
        <x:v>Alchemist top/mid</x:v>
      </x:c>
      <x:c r="B17" s="19" t="str">
        <x:v>buff/debuff</x:v>
      </x:c>
      <x:c r="C17" s="19" t="str">
        <x:v>S-tier support</x:v>
      </x:c>
      <x:c r="D17" s="19" t="str">
        <x:v>401/420 brew; Perishing for debuff</x:v>
      </x:c>
      <x:c r="E17" s="19" t="str">
        <x:v>Multi-projectile low-damage carries</x:v>
      </x:c>
      <x:c r="F17" s="19" t="str">
        <x:v>Solo popping</x:v>
      </x:c>
      <x:c r="G17" s="19" t="n">
        <x:v>95</x:v>
      </x:c>
      <x:c r="H17" s="19" t="str">
        <x:v>Brew is one of the most universal value engines.</x:v>
      </x:c>
    </x:row>
    <x:row r="18">
      <x:c r="A18" s="19" t="str">
        <x:v>Druid bottom</x:v>
      </x:c>
      <x:c r="B18" s="19" t="str">
        <x:v>cluster carry</x:v>
      </x:c>
      <x:c r="C18" s="19" t="str">
        <x:v>Strong setup carry</x:v>
      </x:c>
      <x:c r="D18" s="19" t="str">
        <x:v>Avatar of Wrath + Poplusts</x:v>
      </x:c>
      <x:c r="E18" s="19" t="str">
        <x:v>Obyn, Alch, Village, Glue</x:v>
      </x:c>
      <x:c r="F18" s="19" t="str">
        <x:v>Spread-out footprints</x:v>
      </x:c>
      <x:c r="G18" s="19" t="n">
        <x:v>86</x:v>
      </x:c>
      <x:c r="H18" s="19" t="str">
        <x:v>Powerful but setup-dependent.</x:v>
      </x:c>
    </x:row>
    <x:row r="19">
      <x:c r="A19" s="19" t="str">
        <x:v>Village mid/top</x:v>
      </x:c>
      <x:c r="B19" s="19" t="str">
        <x:v>camo, MIB, discounts, Homeland</x:v>
      </x:c>
      <x:c r="C19" s="19" t="str">
        <x:v>S-tier support</x:v>
      </x:c>
      <x:c r="D19" s="19" t="str">
        <x:v>230/240/250; 420 for primary</x:v>
      </x:c>
      <x:c r="E19" s="19" t="str">
        <x:v>Almost every build</x:v>
      </x:c>
      <x:c r="F19" s="19" t="str">
        <x:v>Raw popping</x:v>
      </x:c>
      <x:c r="G19" s="19" t="n">
        <x:v>96</x:v>
      </x:c>
      <x:c r="H19" s="19" t="str">
        <x:v>Solves properties and multiplies DPS.</x:v>
      </x:c>
    </x:row>
    <x:row r="20">
      <x:c r="A20" s="19" t="str">
        <x:v>Engineer mid/top</x:v>
      </x:c>
      <x:c r="B20" s="19" t="str">
        <x:v>Overclock, sentry, trap</x:v>
      </x:c>
      <x:c r="C20" s="19" t="str">
        <x:v>High support/value</x:v>
      </x:c>
      <x:c r="D20" s="19" t="str">
        <x:v>040/050 Overclock, XXXL Trap outside CHIMPS</x:v>
      </x:c>
      <x:c r="E20" s="19" t="str">
        <x:v>Expensive carries, Village</x:v>
      </x:c>
      <x:c r="F20" s="19" t="str">
        <x:v>Early solo carry</x:v>
      </x:c>
      <x:c r="G20" s="19" t="n">
        <x:v>84</x:v>
      </x:c>
      <x:c r="H20" s="19" t="str">
        <x:v>Overclock scales with target cost/output.</x:v>
      </x:c>
    </x:row>
    <x:row r="21">
      <x:c r="A21" s="19" t="str">
        <x:v>Beast Handler</x:v>
      </x:c>
      <x:c r="B21" s="19" t="str">
        <x:v>control/DPS via merged beasts</x:v>
      </x:c>
      <x:c r="C21" s="19" t="str">
        <x:v>Skill/setup-dependent</x:v>
      </x:c>
      <x:c r="D21" s="19" t="str">
        <x:v>Orca/Megalodon, Condor/Pouakai, T-Rex</x:v>
      </x:c>
      <x:c r="E21" s="19" t="str">
        <x:v>Village, stall, map geometry</x:v>
      </x:c>
      <x:c r="F21" s="19" t="str">
        <x:v>Simple generic advice</x:v>
      </x:c>
      <x:c r="G21" s="19" t="n">
        <x:v>74</x:v>
      </x:c>
      <x:c r="H21" s="19" t="str">
        <x:v>Power depends heavily on placement/merge planning.</x:v>
      </x:c>
    </x:row>
  </x:sheetData>
  <x:conditionalFormatting sqref="G2:G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491ba69ba0448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42" hidden="0" customWidth="1"/>
    <x:col min="5" max="5" width="34" hidden="0" customWidth="1"/>
    <x:col min="6" max="6" width="7.25" hidden="0" customWidth="1"/>
    <x:col min="7" max="7" width="7.5" hidden="0" customWidth="1"/>
    <x:col min="8" max="8" width="44" hidden="0" customWidth="1"/>
  </x:cols>
  <x:sheetData>
    <x:row r="1" ht="15" hidden="0" customHeight="1">
      <x:c r="A1" s="12" t="str">
        <x:v>Hero</x:v>
      </x:c>
      <x:c r="B1" s="12" t="str">
        <x:v>Generic meta role</x:v>
      </x:c>
      <x:c r="C1" s="12" t="str">
        <x:v>Best use case</x:v>
      </x:c>
      <x:c r="D1" s="12" t="str">
        <x:v>Strengths</x:v>
      </x:c>
      <x:c r="E1" s="12" t="str">
        <x:v>Caveats</x:v>
      </x:c>
      <x:c r="F1" s="12" t="str">
        <x:v>Score</x:v>
      </x:c>
      <x:c r="G1" s="12" t="str">
        <x:v>Micro</x:v>
      </x:c>
      <x:c r="H1" s="12" t="str">
        <x:v>Source URL</x:v>
      </x:c>
    </x:row>
    <x:row r="2">
      <x:c r="A2" s="19" t="str">
        <x:v>Geraldo</x:v>
      </x:c>
      <x:c r="B2" s="19" t="str">
        <x:v>Universal toolkit / strongest expert flexibility</x:v>
      </x:c>
      <x:c r="C2" s="19" t="str">
        <x:v>CHIMPS planning, early-game smoothing, single-target boosts</x:v>
      </x:c>
      <x:c r="D2" s="19" t="str">
        <x:v>Shop items patch holes: camo, pierce, buffs, totems, spikes, glue.</x:v>
      </x:c>
      <x:c r="E2" s="19" t="str">
        <x:v>High knowledge and micro; item timings matter.</x:v>
      </x:c>
      <x:c r="F2" s="19" t="n">
        <x:v>96</x:v>
      </x:c>
      <x:c r="G2" s="19" t="n">
        <x:v>90</x:v>
      </x:c>
      <x:c r="H2" s="19" t="str">
        <x:v>https://www.reddit.com/r/btd6/comments/1tokyxi/comprehensive_tier_list_for_chimps_by_path/</x:v>
      </x:c>
    </x:row>
    <x:row r="3">
      <x:c r="A3" s="19" t="str">
        <x:v>Corvus</x:v>
      </x:c>
      <x:c r="B3" s="19" t="str">
        <x:v>High-skill solo/carry utility</x:v>
      </x:c>
      <x:c r="C3" s="19" t="str">
        <x:v>Players willing to micro spells</x:v>
      </x:c>
      <x:c r="D3" s="19" t="str">
        <x:v>Huge ceiling, flexible response to rushes.</x:v>
      </x:c>
      <x:c r="E3" s="19" t="str">
        <x:v>Very high micro and learning load.</x:v>
      </x:c>
      <x:c r="F3" s="19" t="n">
        <x:v>93</x:v>
      </x:c>
      <x:c r="G3" s="19" t="n">
        <x:v>100</x:v>
      </x:c>
      <x:c r="H3" s="19" t="str">
        <x:v>https://ninjakiwi.com/Games/Mobile/Bloons-TD-6.html</x:v>
      </x:c>
    </x:row>
    <x:row r="4">
      <x:c r="A4" s="19" t="str">
        <x:v>Sauda</x:v>
      </x:c>
      <x:c r="B4" s="19" t="str">
        <x:v>Easy early-game anchor</x:v>
      </x:c>
      <x:c r="C4" s="19" t="str">
        <x:v>Beginner/intermediate maps, short-range strong spots</x:v>
      </x:c>
      <x:c r="D4" s="19" t="str">
        <x:v>Cheap, strong early, low micro.</x:v>
      </x:c>
      <x:c r="E4" s="19" t="str">
        <x:v>Falls with bad placement/long maps; less universal on true experts.</x:v>
      </x:c>
      <x:c r="F4" s="19" t="n">
        <x:v>84</x:v>
      </x:c>
      <x:c r="G4" s="19" t="n">
        <x:v>20</x:v>
      </x:c>
      <x:c r="H4" s="19" t="str">
        <x:v>https://ninjakiwi.com/Games/Mobile/Bloons-TD-6.html</x:v>
      </x:c>
    </x:row>
    <x:row r="5">
      <x:c r="A5" s="19" t="str">
        <x:v>Psi</x:v>
      </x:c>
      <x:c r="B5" s="19" t="str">
        <x:v>Scaling control</x:v>
      </x:c>
      <x:c r="C5" s="19" t="str">
        <x:v>Long games, dangerous late waves</x:v>
      </x:c>
      <x:c r="D5" s="19" t="str">
        <x:v>Global-ish control and strong round handling as levels scale.</x:v>
      </x:c>
      <x:c r="E5" s="19" t="str">
        <x:v>Weak early; needs XP/time.</x:v>
      </x:c>
      <x:c r="F5" s="19" t="n">
        <x:v>86</x:v>
      </x:c>
      <x:c r="G5" s="19" t="n">
        <x:v>35</x:v>
      </x:c>
      <x:c r="H5" s="19" t="str">
        <x:v>https://ninjakiwi.com/Games/Mobile/Bloons-TD-6.html</x:v>
      </x:c>
    </x:row>
    <x:row r="6">
      <x:c r="A6" s="19" t="str">
        <x:v>Adora</x:v>
      </x:c>
      <x:c r="B6" s="19" t="str">
        <x:v>Buffed late-game carry amplifier</x:v>
      </x:c>
      <x:c r="C6" s="19" t="str">
        <x:v>Temple/Sun Avatar or high-damage shells</x:v>
      </x:c>
      <x:c r="D6" s="19" t="str">
        <x:v>High damage when supported; strong ability windows.</x:v>
      </x:c>
      <x:c r="E6" s="19" t="str">
        <x:v>Sacrifice/micro and cost planning.</x:v>
      </x:c>
      <x:c r="F6" s="19" t="n">
        <x:v>85</x:v>
      </x:c>
      <x:c r="G6" s="19" t="n">
        <x:v>70</x:v>
      </x:c>
      <x:c r="H6" s="19" t="str">
        <x:v>https://ninjakiwi.com/Games/Mobile/Bloons-TD-6.html</x:v>
      </x:c>
    </x:row>
    <x:row r="7">
      <x:c r="A7" s="19" t="str">
        <x:v>Etienne</x:v>
      </x:c>
      <x:c r="B7" s="19" t="str">
        <x:v>Camo simplifier + UCAV</x:v>
      </x:c>
      <x:c r="C7" s="19" t="str">
        <x:v>When camo coverage tax is painful</x:v>
      </x:c>
      <x:c r="D7" s="19" t="str">
        <x:v>Global camo at level 8 makes builds simpler.</x:v>
      </x:c>
      <x:c r="E7" s="19" t="str">
        <x:v>Less raw carry value than top heroes.</x:v>
      </x:c>
      <x:c r="F7" s="19" t="n">
        <x:v>79</x:v>
      </x:c>
      <x:c r="G7" s="19" t="n">
        <x:v>35</x:v>
      </x:c>
      <x:c r="H7" s="19" t="str">
        <x:v>https://ninjakiwi.com/Games/Mobile/Bloons-TD-6.html</x:v>
      </x:c>
    </x:row>
    <x:row r="8">
      <x:c r="A8" s="19" t="str">
        <x:v>Benjamin</x:v>
      </x:c>
      <x:c r="B8" s="19" t="str">
        <x:v>Cash snowball outside CHIMPS</x:v>
      </x:c>
      <x:c r="C8" s="19" t="str">
        <x:v>Non-CHIMPS farming/economy modes</x:v>
      </x:c>
      <x:c r="D8" s="19" t="str">
        <x:v>Turns early cash into faster farms and defenses.</x:v>
      </x:c>
      <x:c r="E8" s="19" t="str">
        <x:v>Bad/disabled for CHIMPS optimization.</x:v>
      </x:c>
      <x:c r="F8" s="19" t="n">
        <x:v>78</x:v>
      </x:c>
      <x:c r="G8" s="19" t="n">
        <x:v>15</x:v>
      </x:c>
      <x:c r="H8" s="19" t="str">
        <x:v>https://ninjakiwi.com/Games/Mobile/Bloons-TD-6.html</x:v>
      </x:c>
    </x:row>
    <x:row r="9">
      <x:c r="A9" s="19" t="str">
        <x:v>Pat Fusty</x:v>
      </x:c>
      <x:c r="B9" s="19" t="str">
        <x:v>Damage buff / knockback support</x:v>
      </x:c>
      <x:c r="C9" s="19" t="str">
        <x:v>Tack, low-damage high-projectile towers</x:v>
      </x:c>
      <x:c r="D9" s="19" t="str">
        <x:v>Rallying Roar multiplies fast towers; v55 smoothed progression.</x:v>
      </x:c>
      <x:c r="E9" s="19" t="str">
        <x:v>Range and placement constrained.</x:v>
      </x:c>
      <x:c r="F9" s="19" t="n">
        <x:v>83</x:v>
      </x:c>
      <x:c r="G9" s="19" t="n">
        <x:v>50</x:v>
      </x:c>
      <x:c r="H9" s="19" t="str">
        <x:v>https://bloons.fandom.com/wiki/Bloons_TD_6/Balance_changes/Version_55.x</x:v>
      </x:c>
    </x:row>
    <x:row r="10">
      <x:c r="A10" s="19" t="str">
        <x:v>Brickell</x:v>
      </x:c>
      <x:c r="B10" s="19" t="str">
        <x:v>Water carry/support</x:v>
      </x:c>
      <x:c r="C10" s="19" t="str">
        <x:v>Sub/Buccaneer-focused maps</x:v>
      </x:c>
      <x:c r="D10" s="19" t="str">
        <x:v>Strong water synergy and ability power.</x:v>
      </x:c>
      <x:c r="E10" s="19" t="str">
        <x:v>Map water dependency.</x:v>
      </x:c>
      <x:c r="F10" s="19" t="n">
        <x:v>82</x:v>
      </x:c>
      <x:c r="G10" s="19" t="n">
        <x:v>55</x:v>
      </x:c>
      <x:c r="H10" s="19" t="str">
        <x:v>https://ninjakiwi.com/Games/Mobile/Bloons-TD-6.html</x:v>
      </x:c>
    </x:row>
    <x:row r="11">
      <x:c r="A11" s="19" t="str">
        <x:v>Dan D'Monke / He-Man</x:v>
      </x:c>
      <x:c r="B11" s="19" t="str">
        <x:v>Transforming hybrid support/carry</x:v>
      </x:c>
      <x:c r="C11" s="19" t="str">
        <x:v>New v55 hero testing</x:v>
      </x:c>
      <x:c r="D11" s="19" t="str">
        <x:v>Level 3 transformation; level 10 rally/berserk modes.</x:v>
      </x:c>
      <x:c r="E11" s="19" t="str">
        <x:v>Newer and still settling in; events restrictions around launch.</x:v>
      </x:c>
      <x:c r="F11" s="19" t="n">
        <x:v>80</x:v>
      </x:c>
      <x:c r="G11" s="19" t="n">
        <x:v>60</x:v>
      </x:c>
      <x:c r="H11" s="19" t="str">
        <x:v>https://www.reddit.com/r/btd6/comments/1tv9904/bloons_td_6_v550_update_notes/</x:v>
      </x:c>
    </x:row>
  </x:sheetData>
  <x:conditionalFormatting sqref="F2:F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11">
    <x:cfRule type="dataBar" priority="2">
      <x:dataBar>
        <x:cfvo type="min"/>
        <x:cfvo type="max"/>
        <x:color rgb="FF64748B"/>
      </x:dataBar>
      <x:extLst>
        <x:ext xmlns:x14="http://schemas.microsoft.com/office/spreadsheetml/2009/9/main" uri="{B025F937-C7B1-47D3-B67F-A62EFF666E3E}">
          <x14:id>{FA997709-50C9-6229-B76B-1FBA3D5FAAA4}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3fda0482fed432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A997709-50C9-6229-B76B-1FBA3D5FAAA4}">
            <x14:dataBar gradient="1">
              <x14:cfvo type="min"/>
              <x14:cfvo type="max"/>
              <x14:fillColor rgb="FF64748B"/>
            </x14:dataBar>
          </x14:cfRule>
          <xm:sqref>G2:G11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4" hidden="0" customWidth="1"/>
    <x:col min="5" max="5" width="14" hidden="0" customWidth="1"/>
    <x:col min="6" max="6" width="18" hidden="0" customWidth="1"/>
    <x:col min="7" max="7" width="14" hidden="0" customWidth="1"/>
    <x:col min="8" max="8" width="16" hidden="0" customWidth="1"/>
  </x:cols>
  <x:sheetData>
    <x:row r="1" ht="19.200000762939453" hidden="0" customHeight="1">
      <x:c r="A1" s="4" t="str">
        <x:v>BTD6 Buff / Synergy Calculator (toy model)</x:v>
      </x:c>
    </x:row>
    <x:row r="3">
      <x:c r="A3" s="12" t="str">
        <x:v>Input</x:v>
      </x:c>
      <x:c r="B3" s="12" t="str">
        <x:v>Value</x:v>
      </x:c>
      <x:c r="D3" s="12" t="str">
        <x:v>Scenario</x:v>
      </x:c>
      <x:c r="E3" s="12" t="str">
        <x:v>Base DPS</x:v>
      </x:c>
      <x:c r="F3" s="12" t="str">
        <x:v>Buff multiplier</x:v>
      </x:c>
      <x:c r="G3" s="12" t="str">
        <x:v>Reliability</x:v>
      </x:c>
      <x:c r="H3" s="12" t="str">
        <x:v>Effective DPS</x:v>
      </x:c>
    </x:row>
    <x:row r="4">
      <x:c r="A4" s="19" t="str">
        <x:v>Base DPS</x:v>
      </x:c>
      <x:c r="B4" s="28" t="n">
        <x:v>100</x:v>
      </x:c>
      <x:c r="D4" t="str">
        <x:v>No support</x:v>
      </x:c>
      <x:c r="E4" t="n">
        <x:v>100</x:v>
      </x:c>
      <x:c r="F4" t="n">
        <x:v>1</x:v>
      </x:c>
      <x:c r="G4" t="n">
        <x:v>1</x:v>
      </x:c>
      <x:c r="H4" t="n">
        <x:f>E4*F4*G4</x:f>
        <x:v>100</x:v>
      </x:c>
    </x:row>
    <x:row r="5">
      <x:c r="A5" s="19" t="str">
        <x:v>Attack speed multiplier</x:v>
      </x:c>
      <x:c r="B5" s="28" t="n">
        <x:v>1.25</x:v>
      </x:c>
      <x:c r="D5" t="str">
        <x:v>Alch/Village shell</x:v>
      </x:c>
      <x:c r="E5" t="n">
        <x:v>100</x:v>
      </x:c>
      <x:c r="F5" t="n">
        <x:v>1.75</x:v>
      </x:c>
      <x:c r="G5" t="n">
        <x:v>0.95</x:v>
      </x:c>
      <x:c r="H5" t="n">
        <x:f>E5*F5*G5</x:f>
        <x:v>166.25</x:v>
      </x:c>
    </x:row>
    <x:row r="6">
      <x:c r="A6" s="19" t="str">
        <x:v>Flat damage bonus per hit</x:v>
      </x:c>
      <x:c r="B6" s="28" t="n">
        <x:v>1</x:v>
      </x:c>
      <x:c r="D6" t="str">
        <x:v>Full debuff/stall shell</x:v>
      </x:c>
      <x:c r="E6" t="n">
        <x:v>100</x:v>
      </x:c>
      <x:c r="F6" t="n">
        <x:v>2.75</x:v>
      </x:c>
      <x:c r="G6" t="n">
        <x:v>0.85</x:v>
      </x:c>
      <x:c r="H6" t="n">
        <x:f>E6*F6*G6</x:f>
        <x:v>233.75</x:v>
      </x:c>
    </x:row>
    <x:row r="7">
      <x:c r="A7" s="19" t="str">
        <x:v>Base damage per hit</x:v>
      </x:c>
      <x:c r="B7" s="28" t="n">
        <x:v>2</x:v>
      </x:c>
      <x:c r="D7" t="str">
        <x:v>High micro ceiling</x:v>
      </x:c>
      <x:c r="E7" t="n">
        <x:v>100</x:v>
      </x:c>
      <x:c r="F7" t="n">
        <x:v>3.25</x:v>
      </x:c>
      <x:c r="G7" t="n">
        <x:v>0.7</x:v>
      </x:c>
      <x:c r="H7" t="n">
        <x:f>E7*F7*G7</x:f>
        <x:v>227.49999999999997</x:v>
      </x:c>
    </x:row>
    <x:row r="8">
      <x:c r="A8" s="19" t="str">
        <x:v>Damage taken debuff</x:v>
      </x:c>
      <x:c r="B8" s="28" t="n">
        <x:v>1.2</x:v>
      </x:c>
    </x:row>
    <x:row r="9">
      <x:c r="A9" s="19" t="str">
        <x:v>Uptime</x:v>
      </x:c>
      <x:c r="B9" s="28" t="n">
        <x:v>0.8</x:v>
      </x:c>
    </x:row>
    <x:row r="10">
      <x:c r="A10" s="19" t="str">
        <x:v>Stall multiplier</x:v>
      </x:c>
      <x:c r="B10" s="28" t="n">
        <x:v>1.3</x:v>
      </x:c>
    </x:row>
    <x:row r="11">
      <x:c r="A11" s="19" t="str">
        <x:v>Micro reliability</x:v>
      </x:c>
      <x:c r="B11" s="19" t="n">
        <x:v>0.9</x:v>
      </x:c>
    </x:row>
    <x:row r="12">
      <x:c r="A12" s="19" t="str">
        <x:v>Effective DPS</x:v>
      </x:c>
      <x:c r="B12" s="19" t="n">
        <x:f>B4*((B6+B5)/B6)*B7*B8*B9*B10</x:f>
        <x:v>561.6</x:v>
      </x:c>
    </x:row>
    <x:row r="14">
      <x:c r="A14" s="24" t="str">
        <x:v>How to use</x:v>
      </x:c>
      <x:c r="B14" s="24" t="str">
        <x:v>Change the yellow input cells. Effective DPS here is not an exact BTD6 simulator; it is a planning model for understanding why debuffs/stall/uptime multiply tower value.</x:v>
      </x:c>
      <x:c r="C14" s="24"/>
      <x:c r="D14" s="24"/>
      <x:c r="E14" s="24"/>
      <x:c r="F14" s="24"/>
      <x:c r="G14" s="24"/>
      <x:c r="H14" s="24"/>
    </x:row>
    <x:row r="15">
      <x:c r="A15" s="24" t="str">
        <x:v>Formula logic</x:v>
      </x:c>
      <x:c r="B15" s="24" t="str">
        <x:v>Effective DPS = base DPS × attack-speed × damage-per-hit scaling × damage debuff × uptime × stall × reliability.</x:v>
      </x:c>
      <x:c r="C15" s="24"/>
      <x:c r="D15" s="24"/>
      <x:c r="E15" s="24"/>
      <x:c r="F15" s="24"/>
      <x:c r="G15" s="24"/>
      <x:c r="H15" s="24"/>
    </x:row>
    <x:row r="16">
      <x:c r="A16" s="24" t="str">
        <x:v>Important</x:v>
      </x:c>
      <x:c r="B16" s="24" t="str">
        <x:v>True BTD6 stats depend on attack type, pierce, projectile behavior, damage type, rehit rules, seeking, tower footprint, and round composition.</x:v>
      </x:c>
      <x:c r="C16" s="24"/>
      <x:c r="D16" s="24"/>
      <x:c r="E16" s="24"/>
      <x:c r="F16" s="24"/>
      <x:c r="G16" s="24"/>
      <x:c r="H16" s="24"/>
    </x:row>
    <x:row r="17">
      <x:c r="A17" s="24" t="str">
        <x:v>Spreadsheet intent</x:v>
      </x:c>
      <x:c r="B17" s="24" t="str">
        <x:v>Use this to compare support packages conceptually, then validate in Sandbox/Challenge Editor.</x:v>
      </x:c>
      <x:c r="C17" s="24"/>
      <x:c r="D17" s="24"/>
      <x:c r="E17" s="24"/>
      <x:c r="F17" s="24"/>
      <x:c r="G17" s="24"/>
      <x:c r="H17" s="24"/>
    </x:row>
    <x:row r="18">
      <x:c r="A18" s="24" t="str">
        <x:v>Source</x:v>
      </x:c>
      <x:c r="B18" s="24" t="str">
        <x:v>https://bloons.fandom.com/wiki/Tower_Buffs_(BTD6)</x:v>
      </x:c>
      <x:c r="C18" s="24"/>
      <x:c r="D18" s="24"/>
      <x:c r="E18" s="24"/>
      <x:c r="F18" s="24"/>
      <x:c r="G18" s="24"/>
      <x:c r="H18" s="24"/>
    </x:row>
  </x:sheetData>
  <x:mergeCells>
    <x:mergeCell ref="A1:H1"/>
  </x:mergeCells>
  <x:conditionalFormatting sqref="H4:H7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{67FA05ED-048E-A752-93F1-B0EB0BCE4704}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7FA05ED-048E-A752-93F1-B0EB0BCE4704}">
            <x14:dataBar gradient="1">
              <x14:cfvo type="min"/>
              <x14:cfvo type="max"/>
              <x14:fillColor rgb="FF14B8A6"/>
            </x14:dataBar>
          </x14:cfRule>
          <xm:sqref>H4:H7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44" hidden="0" customWidth="1"/>
    <x:col min="5" max="5" width="42" hidden="0" customWidth="1"/>
  </x:cols>
  <x:sheetData>
    <x:row r="1" ht="15" hidden="0" customHeight="1">
      <x:c r="A1" s="12" t="str">
        <x:v>Round / range</x:v>
      </x:c>
      <x:c r="B1" s="12" t="str">
        <x:v>Threat</x:v>
      </x:c>
      <x:c r="C1" s="12" t="str">
        <x:v>What it tests</x:v>
      </x:c>
      <x:c r="D1" s="12" t="str">
        <x:v>Generic answers</x:v>
      </x:c>
      <x:c r="E1" s="12" t="str">
        <x:v>Notes</x:v>
      </x:c>
    </x:row>
    <x:row r="2">
      <x:c r="A2" s="19" t="str">
        <x:v>24/33/36/37</x:v>
      </x:c>
      <x:c r="B2" s="19" t="str">
        <x:v>Camo / camo density</x:v>
      </x:c>
      <x:c r="C2" s="19" t="str">
        <x:v>Detection and targeting</x:v>
      </x:c>
      <x:c r="D2" s="19" t="str">
        <x:v>Village 020, Sub intel, Ninja, Etienne, Geraldo items</x:v>
      </x:c>
      <x:c r="E2" s="19" t="str">
        <x:v>Avoid buying dead DPS that cannot see camo.</x:v>
      </x:c>
    </x:row>
    <x:row r="3">
      <x:c r="A3" s="19" t="str">
        <x:v>28/30</x:v>
      </x:c>
      <x:c r="B3" s="19" t="str">
        <x:v>Lead</x:v>
      </x:c>
      <x:c r="C3" s="19" t="str">
        <x:v>Damage type</x:v>
      </x:c>
      <x:c r="D3" s="19" t="str">
        <x:v>Alch buff, Bomb, Wizard, Gwen, hot shots, AMD</x:v>
      </x:c>
      <x:c r="E3" s="19" t="str">
        <x:v>Lead popping is a build tax.</x:v>
      </x:c>
    </x:row>
    <x:row r="4">
      <x:c r="A4" s="19" t="str">
        <x:v>40</x:v>
      </x:c>
      <x:c r="B4" s="19" t="str">
        <x:v>MOAB</x:v>
      </x:c>
      <x:c r="C4" s="19" t="str">
        <x:v>Single-target burst + children</x:v>
      </x:c>
      <x:c r="D4" s="19" t="str">
        <x:v>Moab Press, sticky bomb, maim, strong tower focus</x:v>
      </x:c>
      <x:c r="E4" s="19" t="str">
        <x:v>First major boss-style check.</x:v>
      </x:c>
    </x:row>
    <x:row r="5">
      <x:c r="A5" s="19" t="str">
        <x:v>63</x:v>
      </x:c>
      <x:c r="B5" s="19" t="str">
        <x:v>Ceramic waves</x:v>
      </x:c>
      <x:c r="C5" s="19" t="str">
        <x:v>Pierce and cleanup</x:v>
      </x:c>
      <x:c r="D5" s="19" t="str">
        <x:v>Recursive, Solver, Ring of Fire, Downdraft, Glue</x:v>
      </x:c>
      <x:c r="E5" s="19" t="str">
        <x:v>Classic defense killer.</x:v>
      </x:c>
    </x:row>
    <x:row r="6">
      <x:c r="A6" s="19" t="str">
        <x:v>75/76/78</x:v>
      </x:c>
      <x:c r="B6" s="19" t="str">
        <x:v>Dense ceramics/regrow/camo</x:v>
      </x:c>
      <x:c r="C6" s="19" t="str">
        <x:v>Cleanup, anti-regrow, camo</x:v>
      </x:c>
      <x:c r="D6" s="19" t="str">
        <x:v>Embrittle, Glue, Necromancer, Ring of Fire, Sabotage</x:v>
      </x:c>
      <x:c r="E6" s="19" t="str">
        <x:v>Layer management matters.</x:v>
      </x:c>
    </x:row>
    <x:row r="7">
      <x:c r="A7" s="19" t="str">
        <x:v>80</x:v>
      </x:c>
      <x:c r="B7" s="19" t="str">
        <x:v>ZOMG</x:v>
      </x:c>
      <x:c r="C7" s="19" t="str">
        <x:v>Sustained MOAB DPS</x:v>
      </x:c>
      <x:c r="D7" s="19" t="str">
        <x:v>Maim, MOAB Glue, First Strike, carry DPS</x:v>
      </x:c>
      <x:c r="E7" s="19" t="str">
        <x:v>Pre-BAD scaling test.</x:v>
      </x:c>
    </x:row>
    <x:row r="8">
      <x:c r="A8" s="19" t="str">
        <x:v>90/93/95</x:v>
      </x:c>
      <x:c r="B8" s="19" t="str">
        <x:v>DDTs</x:v>
      </x:c>
      <x:c r="C8" s="19" t="str">
        <x:v>Camo + lead + black + speed</x:v>
      </x:c>
      <x:c r="D8" s="19" t="str">
        <x:v>Impale, MIB, Sabo, Maim, PoD, Spike Storm</x:v>
      </x:c>
      <x:c r="E8" s="19" t="str">
        <x:v>Late-game build validation.</x:v>
      </x:c>
    </x:row>
    <x:row r="9">
      <x:c r="A9" s="19" t="str">
        <x:v>96/98</x:v>
      </x:c>
      <x:c r="B9" s="19" t="str">
        <x:v>Dense fortified MOABs</x:v>
      </x:c>
      <x:c r="C9" s="19" t="str">
        <x:v>Pierce, stall, cleanup, ability timing</x:v>
      </x:c>
      <x:c r="D9" s="19" t="str">
        <x:v>Glue Storm, Sabo, MOAB Glue, Cripple, strong carry</x:v>
      </x:c>
      <x:c r="E9" s="19" t="str">
        <x:v>Often harder than 100 for bad builds.</x:v>
      </x:c>
    </x:row>
    <x:row r="10">
      <x:c r="A10" s="19" t="str">
        <x:v>99</x:v>
      </x:c>
      <x:c r="B10" s="19" t="str">
        <x:v>Fortified DDTs</x:v>
      </x:c>
      <x:c r="C10" s="19" t="str">
        <x:v>DDT control and burst</x:v>
      </x:c>
      <x:c r="D10" s="19" t="str">
        <x:v>Impale, Sabo, First Strike, Spike Storm, MIB</x:v>
      </x:c>
      <x:c r="E10" s="19" t="str">
        <x:v>Do not spend all abilities on 98.</x:v>
      </x:c>
    </x:row>
    <x:row r="11">
      <x:c r="A11" s="19" t="str">
        <x:v>100</x:v>
      </x:c>
      <x:c r="B11" s="19" t="str">
        <x:v>BAD</x:v>
      </x:c>
      <x:c r="C11" s="19" t="str">
        <x:v>Raw single-target DPS</x:v>
      </x:c>
      <x:c r="D11" s="19" t="str">
        <x:v>First Strike, Spike Storm, Tack Zone buffs, Avatar/Savatar shell</x:v>
      </x:c>
      <x:c r="E11" s="19" t="str">
        <x:v>BAD cannot be slowed by many common stall tools.</x:v>
      </x:c>
    </x:row>
  </x:sheetData>
  <x:pageMargins left="0.7" right="0.7" top="0.75" bottom="0.75" header="0.3" footer="0.3"/>
  <x:tableParts count="1">
    <x:tablePart xmlns:r="http://schemas.openxmlformats.org/officeDocument/2006/relationships" r:id="R5cc4f989f3cf40a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46" hidden="0" customWidth="1"/>
    <x:col min="4" max="4" width="34" hidden="0" customWidth="1"/>
    <x:col min="5" max="5" width="42" hidden="0" customWidth="1"/>
  </x:cols>
  <x:sheetData>
    <x:row r="1" ht="15" hidden="0" customHeight="1">
      <x:c r="A1" s="12" t="str">
        <x:v>Mode/context</x:v>
      </x:c>
      <x:c r="B1" s="12" t="str">
        <x:v>Meta priority</x:v>
      </x:c>
      <x:c r="C1" s="12" t="str">
        <x:v>Best generic approach</x:v>
      </x:c>
      <x:c r="D1" s="12" t="str">
        <x:v>Avoid</x:v>
      </x:c>
      <x:c r="E1" s="12" t="str">
        <x:v>Notes</x:v>
      </x:c>
    </x:row>
    <x:row r="2">
      <x:c r="A2" s="19" t="str">
        <x:v>CHIMPS</x:v>
      </x:c>
      <x:c r="B2" s="19" t="str">
        <x:v>Efficiency, save-up, no income, no selling</x:v>
      </x:c>
      <x:c r="C2" s="19" t="str">
        <x:v>Hero + cheap stabilizers + one carry + layered support</x:v>
      </x:c>
      <x:c r="D2" s="19" t="str">
        <x:v>Farm logic, sacrifice/sell plans</x:v>
      </x:c>
      <x:c r="E2" s="19" t="str">
        <x:v>The spreadsheet's rankings lean CHIMPS because it is the strictest meta test.</x:v>
      </x:c>
    </x:row>
    <x:row r="3">
      <x:c r="A3" s="19" t="str">
        <x:v>Impoppable</x:v>
      </x:c>
      <x:c r="B3" s="19" t="str">
        <x:v>Affordability + income optional</x:v>
      </x:c>
      <x:c r="C3" s="19" t="str">
        <x:v>Ben/farms can trivialize save-ups; still respect DDTs/BAD</x:v>
      </x:c>
      <x:c r="D3" s="19" t="str">
        <x:v>Overfarming with no defense</x:v>
      </x:c>
      <x:c r="E3" s="19" t="str">
        <x:v>Selling and income open more options.</x:v>
      </x:c>
    </x:row>
    <x:row r="4">
      <x:c r="A4" s="19" t="str">
        <x:v>Boss events</x:v>
      </x:c>
      <x:c r="B4" s="19" t="str">
        <x:v>Economy into burst and paragons</x:v>
      </x:c>
      <x:c r="C4" s="19" t="str">
        <x:v>Farms, optimized tier timing, debuffs, paragon planning</x:v>
      </x:c>
      <x:c r="D4" s="19" t="str">
        <x:v>CHIMPS-only thinking</x:v>
      </x:c>
      <x:c r="E4" s="19" t="str">
        <x:v>Very event/rules specific, so not fully covered here.</x:v>
      </x:c>
    </x:row>
    <x:row r="5">
      <x:c r="A5" s="19" t="str">
        <x:v>Freeplay</x:v>
      </x:c>
      <x:c r="B5" s="19" t="str">
        <x:v>Scaling and paragons</x:v>
      </x:c>
      <x:c r="C5" s="19" t="str">
        <x:v>Temples, paragons, debuffs, stalling, buffs</x:v>
      </x:c>
      <x:c r="D5" s="19" t="str">
        <x:v>Low-ceiling midgame carries</x:v>
      </x:c>
      <x:c r="E5" s="19" t="str">
        <x:v>Freeplay meta differs sharply from CHIMPS.</x:v>
      </x:c>
    </x:row>
    <x:row r="6">
      <x:c r="A6" s="19" t="str">
        <x:v>Half Cash</x:v>
      </x:c>
      <x:c r="B6" s="19" t="str">
        <x:v>Cheap starts and high efficiency</x:v>
      </x:c>
      <x:c r="C6" s="19" t="str">
        <x:v>Sauda/Geraldo, free darts, subs/ninjas, value supports</x:v>
      </x:c>
      <x:c r="D6" s="19" t="str">
        <x:v>Expensive greedy carries</x:v>
      </x:c>
      <x:c r="E6" s="19" t="str">
        <x:v>Early game is the bottleneck.</x:v>
      </x:c>
    </x:row>
    <x:row r="7">
      <x:c r="A7" s="19" t="str">
        <x:v>Alternate Bloons Rounds</x:v>
      </x:c>
      <x:c r="B7" s="19" t="str">
        <x:v>Property coverage</x:v>
      </x:c>
      <x:c r="C7" s="19" t="str">
        <x:v>Camo/lead/purple fixes early</x:v>
      </x:c>
      <x:c r="D7" s="19" t="str">
        <x:v>Normal-mode starts</x:v>
      </x:c>
      <x:c r="E7" s="19" t="str">
        <x:v>Prioritize flexible damage types.</x:v>
      </x:c>
    </x:row>
    <x:row r="8">
      <x:c r="A8" s="19" t="str">
        <x:v>Co-op</x:v>
      </x:c>
      <x:c r="B8" s="19" t="str">
        <x:v>Role specialization</x:v>
      </x:c>
      <x:c r="C8" s="19" t="str">
        <x:v>One player economy, one support, one carry</x:v>
      </x:c>
      <x:c r="D8" s="19" t="str">
        <x:v>Uncoordinated duplicate supports</x:v>
      </x:c>
      <x:c r="E8" s="19" t="str">
        <x:v>Placement footprint and cash routing matter.</x:v>
      </x:c>
    </x:row>
  </x:sheetData>
  <x:pageMargins left="0.7" right="0.7" top="0.75" bottom="0.75" header="0.3" footer="0.3"/>
  <x:tableParts count="1">
    <x:tablePart xmlns:r="http://schemas.openxmlformats.org/officeDocument/2006/relationships" r:id="R184010dd8453418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2" hidden="0" customWidth="1"/>
  </x:cols>
  <x:sheetData>
    <x:row r="1" ht="15" hidden="0" customHeight="1">
      <x:c r="A1" s="12" t="str">
        <x:v>Source</x:v>
      </x:c>
      <x:c r="B1" s="12" t="str">
        <x:v>URL</x:v>
      </x:c>
      <x:c r="C1" s="12" t="str">
        <x:v>Use</x:v>
      </x:c>
    </x:row>
    <x:row r="2">
      <x:c r="A2" s="19" t="str">
        <x:v>Ninja Kiwi BTD6 page</x:v>
      </x:c>
      <x:c r="B2" s="19" t="str">
        <x:v>https://ninjakiwi.com/Games/Mobile/Bloons-TD-6.html</x:v>
      </x:c>
      <x:c r="C2" s="19" t="str">
        <x:v>Official game overview, heroes/towers count claims.</x:v>
      </x:c>
    </x:row>
    <x:row r="3">
      <x:c r="A3" s="19" t="str">
        <x:v>BTD6 v55.0 official Reddit notes</x:v>
      </x:c>
      <x:c r="B3" s="19" t="str">
        <x:v>https://www.reddit.com/r/btd6/comments/1tv9904/bloons_td_6_v550_update_notes/</x:v>
      </x:c>
      <x:c r="C3" s="19" t="str">
        <x:v>Newest hero/update notes.</x:v>
      </x:c>
    </x:row>
    <x:row r="4">
      <x:c r="A4" s="19" t="str">
        <x:v>Bloons Wiki v55 balance page</x:v>
      </x:c>
      <x:c r="B4" s="19" t="str">
        <x:v>https://bloons.fandom.com/wiki/Bloons_TD_6/Balance_changes/Version_55.x</x:v>
      </x:c>
      <x:c r="C4" s="19" t="str">
        <x:v>Patch-history and v55 balance context.</x:v>
      </x:c>
    </x:row>
    <x:row r="5">
      <x:c r="A5" s="19" t="str">
        <x:v>Bloons Wiki balance index</x:v>
      </x:c>
      <x:c r="B5" s="19" t="str">
        <x:v>https://bloons.fandom.com/wiki/Bloons_TD_6/Balance_changes</x:v>
      </x:c>
      <x:c r="C5" s="19" t="str">
        <x:v>Version status and balance-change index.</x:v>
      </x:c>
    </x:row>
    <x:row r="6">
      <x:c r="A6" s="19" t="str">
        <x:v>Comprehensive CHIMPS tier list v54.x</x:v>
      </x:c>
      <x:c r="B6" s="19" t="str">
        <x:v>https://www.reddit.com/r/btd6/comments/1tokyxi/comprehensive_tier_list_for_chimps_by_path/</x:v>
      </x:c>
      <x:c r="C6" s="19" t="str">
        <x:v>Community expert CHIMPS tiering by path; v54.x.</x:v>
      </x:c>
    </x:row>
    <x:row r="7">
      <x:c r="A7" s="19" t="str">
        <x:v>Extreme Bloonology</x:v>
      </x:c>
      <x:c r="B7" s="19" t="str">
        <x:v>https://sites.google.com/view/bloonology</x:v>
      </x:c>
      <x:c r="C7" s="19" t="str">
        <x:v>Raw tower/crosspath stat lookup tables.</x:v>
      </x:c>
    </x:row>
    <x:row r="8">
      <x:c r="A8" s="19" t="str">
        <x:v>Bloons Wiki tower buffs</x:v>
      </x:c>
      <x:c r="B8" s="19" t="str">
        <x:v>https://bloons.fandom.com/wiki/Tower_Buffs_(BTD6)</x:v>
      </x:c>
      <x:c r="C8" s="19" t="str">
        <x:v>Buff interaction values and support mechanics.</x:v>
      </x:c>
    </x:row>
    <x:row r="9">
      <x:c r="A9" s="19" t="str">
        <x:v>Advanced Intel wiki</x:v>
      </x:c>
      <x:c r="B9" s="19" t="str">
        <x:v>https://bloons.fandom.com/wiki/Advanced_Intel_(BTD6)</x:v>
      </x:c>
      <x:c r="C9" s="19" t="str">
        <x:v>Sub range/camo interaction.</x:v>
      </x:c>
    </x:row>
  </x:sheetData>
  <x:pageMargins left="0.7" right="0.7" top="0.75" bottom="0.75" header="0.3" footer="0.3"/>
  <x:tableParts count="1">
    <x:tablePart xmlns:r="http://schemas.openxmlformats.org/officeDocument/2006/relationships" r:id="Rd2b035bb386a4e7a"/>
  </x:tableParts>
</x:worksheet>
</file>